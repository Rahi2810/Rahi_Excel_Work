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rary6\Desktop\"/>
    </mc:Choice>
  </mc:AlternateContent>
  <xr:revisionPtr revIDLastSave="0" documentId="8_{12D2AE29-CCCF-403F-B4DA-AF2AA66CB551}" xr6:coauthVersionLast="47" xr6:coauthVersionMax="47" xr10:uidLastSave="{00000000-0000-0000-0000-000000000000}"/>
  <bookViews>
    <workbookView xWindow="-120" yWindow="-120" windowWidth="21840" windowHeight="13020" activeTab="2" xr2:uid="{83ADE858-F4E6-4A14-B0EC-73C71C840093}"/>
  </bookViews>
  <sheets>
    <sheet name="Sheet1" sheetId="1" r:id="rId1"/>
    <sheet name="VL TASK 1-6" sheetId="2" r:id="rId2"/>
    <sheet name="HL TASK 7-10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D18" i="2"/>
  <c r="B37" i="2"/>
  <c r="B26" i="2"/>
  <c r="C10" i="3"/>
  <c r="B42" i="2"/>
  <c r="B32" i="2"/>
  <c r="B22" i="2"/>
  <c r="B10" i="2"/>
  <c r="B11" i="2"/>
  <c r="B12" i="2"/>
  <c r="B13" i="2"/>
  <c r="B14" i="2"/>
  <c r="B15" i="2"/>
  <c r="B16" i="2"/>
  <c r="B9" i="2"/>
</calcChain>
</file>

<file path=xl/sharedStrings.xml><?xml version="1.0" encoding="utf-8"?>
<sst xmlns="http://schemas.openxmlformats.org/spreadsheetml/2006/main" count="97" uniqueCount="74">
  <si>
    <t>1. Find the Name of employee using EmployeeID from Search_Input.</t>
  </si>
  <si>
    <t>Sheet: Employee_Data</t>
  </si>
  <si>
    <t>EmployeeID</t>
  </si>
  <si>
    <t>Name</t>
  </si>
  <si>
    <t>Department</t>
  </si>
  <si>
    <t>Location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</si>
  <si>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</si>
  <si>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</si>
  <si>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</si>
  <si>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</si>
  <si>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</si>
  <si>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</si>
  <si>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</si>
  <si>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</si>
  <si>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</si>
  <si>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</si>
  <si>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</si>
  <si>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</si>
  <si>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</si>
  <si>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</si>
  <si>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</si>
  <si>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</si>
  <si>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</si>
  <si>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</si>
  <si>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</si>
  <si>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</si>
  <si>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</si>
  <si>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</si>
  <si>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</si>
  <si>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</si>
  <si>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</si>
  <si>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</si>
  <si>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</si>
  <si>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Sheet: Department_Bonus (Horizontal Table)</t>
  </si>
  <si>
    <t>Bonus %</t>
  </si>
  <si>
    <t>Sheet: Search_Input</t>
  </si>
  <si>
    <t>2. Find the Department of employee with ID E103.</t>
  </si>
  <si>
    <t>3. Find the Salary of employee Neha Singh using VLOOKUP.</t>
  </si>
  <si>
    <t>4. Get the Location of employee E107.</t>
  </si>
  <si>
    <t>5. If EmployeeID is not found, display "Not Found".</t>
  </si>
  <si>
    <t>6. Find the JoiningYear of employee E101.</t>
  </si>
  <si>
    <t>input</t>
  </si>
  <si>
    <t xml:space="preserve">                  Salary</t>
  </si>
  <si>
    <t xml:space="preserve">            Finance</t>
  </si>
  <si>
    <t xml:space="preserve">            Marketing</t>
  </si>
  <si>
    <t xml:space="preserve">                       IT</t>
  </si>
  <si>
    <t xml:space="preserve">                         HR</t>
  </si>
  <si>
    <t xml:space="preserve">                         Sales</t>
  </si>
  <si>
    <t xml:space="preserve">name </t>
  </si>
  <si>
    <t>ANS-1</t>
  </si>
  <si>
    <t>ANS-2</t>
  </si>
  <si>
    <t>EMPLOYEE ID</t>
  </si>
  <si>
    <t>DEP[ARTMENT</t>
  </si>
  <si>
    <t>ANS-3</t>
  </si>
  <si>
    <t>NEHA SINGH</t>
  </si>
  <si>
    <t>ANS-4</t>
  </si>
  <si>
    <t xml:space="preserve">EMPLOYEE ID </t>
  </si>
  <si>
    <t>ANS-5</t>
  </si>
  <si>
    <t xml:space="preserve"> EMPLOYEE ID </t>
  </si>
  <si>
    <t>E109</t>
  </si>
  <si>
    <t>ANS-6</t>
  </si>
  <si>
    <t>(Bonus Amount = Salary × Bonus %).</t>
  </si>
  <si>
    <t>7. Find the Bonus % for IT department.</t>
  </si>
  <si>
    <t>8. Find the Bonus % for Finance department.</t>
  </si>
  <si>
    <t>9. Calculate Bonus Amount for employee E104</t>
  </si>
  <si>
    <t>10. If department is invalid, display "No Bonus Data".</t>
  </si>
  <si>
    <t>ANS-7</t>
  </si>
  <si>
    <t xml:space="preserve">         JoiningYear</t>
  </si>
  <si>
    <t xml:space="preserve">               BONUS</t>
  </si>
  <si>
    <t>it</t>
  </si>
  <si>
    <t>E1010</t>
  </si>
  <si>
    <t>ANS-8</t>
  </si>
  <si>
    <t>FINANCE</t>
  </si>
  <si>
    <t>ANS-9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</si>
</sst>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66"/>
      <name val="Calibri"/>
      <family val="2"/>
      <scheme val="minor"/>
    </font>
    <font>
      <sz val="11"/>
      <color rgb="FF00009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0" applyNumberFormat="1"/>
    <xf numFmtId="0" fontId="2" fillId="2" borderId="0" xfId="0" applyFont="1" applyFill="1"/>
    <xf numFmtId="0" fontId="3" fillId="3" borderId="0" xfId="0" applyFont="1" applyFill="1"/>
    <xf numFmtId="0" fontId="3" fillId="4" borderId="0" xfId="0" applyFont="1" applyFill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21B5-9EA2-4A1F-B045-C5F39A04F1E8}">
  <dimension ref="A1:G18"/>
  <sheetViews>
    <sheetView workbookViewId="0">
      <selection activeCell="G2" sqref="G2"/>
    </sheetView>
  </sheetViews>
  <sheetFormatPr defaultRowHeight="15" x14ac:dyDescent="0.25"/>
  <cols>
    <col min="1" max="1" width="12.28515625" customWidth="1"/>
    <col min="2" max="2" width="17.28515625" customWidth="1"/>
    <col min="3" max="3" width="15.140625" customWidth="1"/>
    <col min="4" max="4" width="12.85546875" customWidth="1"/>
    <col min="5" max="5" width="13.7109375" customWidth="1"/>
    <col min="6" max="6" width="15.42578125" customWidth="1"/>
    <col min="7" max="7" width="13.7109375" customWidth="1"/>
  </cols>
  <sheetData>
    <row r="1" spans="1:7" x14ac:dyDescent="0.25">
      <c r="A1" s="2" t="s">
        <v>1</v>
      </c>
      <c r="B1" s="2"/>
      <c r="C1" s="2"/>
    </row>
    <row r="2" spans="1:7" x14ac:dyDescent="0.25">
      <c r="A2" t="s">
        <v>2</v>
      </c>
      <c r="B2" t="s">
        <v>3</v>
      </c>
      <c r="C2" t="s">
        <v>4</v>
      </c>
      <c r="D2" t="s">
        <v>5</v>
      </c>
      <c r="E2" t="s">
        <v>42</v>
      </c>
      <c r="F2" t="s">
        <v>67</v>
      </c>
      <c r="G2" t="s">
        <v>68</v>
      </c>
    </row>
    <row r="3" spans="1:7" x14ac:dyDescent="0.25">
      <c r="A3" t="s">
        <v>6</v>
      </c>
      <c r="B3" t="s">
        <v>7</v>
      </c>
      <c r="C3" t="s">
        <v>8</v>
      </c>
      <c r="D3" t="s">
        <v>9</v>
      </c>
      <c r="E3">
        <v>45000</v>
      </c>
      <c r="F3">
        <v>2019</v>
      </c>
    </row>
    <row r="4" spans="1:7" x14ac:dyDescent="0.25">
      <c r="A4" t="s">
        <v>10</v>
      </c>
      <c r="B4" t="s">
        <v>11</v>
      </c>
      <c r="C4" t="s">
        <v>12</v>
      </c>
      <c r="D4" t="s">
        <v>13</v>
      </c>
      <c r="E4">
        <v>52000</v>
      </c>
      <c r="F4">
        <v>2018</v>
      </c>
    </row>
    <row r="5" spans="1:7" x14ac:dyDescent="0.25">
      <c r="A5" t="s">
        <v>14</v>
      </c>
      <c r="B5" t="s">
        <v>15</v>
      </c>
      <c r="C5" t="s">
        <v>16</v>
      </c>
      <c r="D5" t="s">
        <v>17</v>
      </c>
      <c r="E5">
        <v>65000</v>
      </c>
      <c r="F5">
        <v>2020</v>
      </c>
    </row>
    <row r="6" spans="1:7" x14ac:dyDescent="0.25">
      <c r="A6" t="s">
        <v>18</v>
      </c>
      <c r="B6" t="s">
        <v>19</v>
      </c>
      <c r="C6" t="s">
        <v>20</v>
      </c>
      <c r="D6" t="s">
        <v>21</v>
      </c>
      <c r="E6">
        <v>58000</v>
      </c>
      <c r="F6">
        <v>2017</v>
      </c>
    </row>
    <row r="7" spans="1:7" x14ac:dyDescent="0.25">
      <c r="A7" t="s">
        <v>22</v>
      </c>
      <c r="B7" t="s">
        <v>23</v>
      </c>
      <c r="C7" t="s">
        <v>24</v>
      </c>
      <c r="D7" t="s">
        <v>9</v>
      </c>
      <c r="E7">
        <v>48000</v>
      </c>
      <c r="F7">
        <v>2021</v>
      </c>
    </row>
    <row r="8" spans="1:7" x14ac:dyDescent="0.25">
      <c r="A8" t="s">
        <v>25</v>
      </c>
      <c r="B8" t="s">
        <v>26</v>
      </c>
      <c r="C8" t="s">
        <v>16</v>
      </c>
      <c r="D8" t="s">
        <v>27</v>
      </c>
      <c r="E8">
        <v>62000</v>
      </c>
      <c r="F8">
        <v>2019</v>
      </c>
    </row>
    <row r="9" spans="1:7" x14ac:dyDescent="0.25">
      <c r="A9" t="s">
        <v>28</v>
      </c>
      <c r="B9" t="s">
        <v>29</v>
      </c>
      <c r="C9" t="s">
        <v>8</v>
      </c>
      <c r="D9" t="s">
        <v>30</v>
      </c>
      <c r="E9">
        <v>47000</v>
      </c>
      <c r="F9">
        <v>2020</v>
      </c>
    </row>
    <row r="10" spans="1:7" x14ac:dyDescent="0.25">
      <c r="A10" t="s">
        <v>31</v>
      </c>
      <c r="B10" t="s">
        <v>32</v>
      </c>
      <c r="C10" t="s">
        <v>12</v>
      </c>
      <c r="D10" t="s">
        <v>17</v>
      </c>
      <c r="E10">
        <v>54000</v>
      </c>
      <c r="F10">
        <v>2016</v>
      </c>
    </row>
    <row r="12" spans="1:7" x14ac:dyDescent="0.25">
      <c r="A12" s="2" t="s">
        <v>33</v>
      </c>
      <c r="B12" s="2"/>
      <c r="C12" s="2"/>
      <c r="D12" s="2"/>
      <c r="E12" s="2"/>
    </row>
    <row r="13" spans="1:7" x14ac:dyDescent="0.25">
      <c r="A13" t="s">
        <v>4</v>
      </c>
      <c r="B13" t="s">
        <v>47</v>
      </c>
      <c r="C13" t="s">
        <v>46</v>
      </c>
      <c r="D13" t="s">
        <v>45</v>
      </c>
      <c r="E13" t="s">
        <v>43</v>
      </c>
      <c r="F13" t="s">
        <v>44</v>
      </c>
    </row>
    <row r="14" spans="1:7" x14ac:dyDescent="0.25">
      <c r="A14" t="s">
        <v>34</v>
      </c>
      <c r="B14" s="1">
        <v>0.1</v>
      </c>
      <c r="C14" s="1">
        <v>0.08</v>
      </c>
      <c r="D14" s="1">
        <v>0.12</v>
      </c>
      <c r="E14" s="1">
        <v>0.15</v>
      </c>
      <c r="F14" s="1">
        <v>0.09</v>
      </c>
    </row>
    <row r="16" spans="1:7" x14ac:dyDescent="0.25">
      <c r="A16" s="2" t="s">
        <v>35</v>
      </c>
      <c r="B16" s="2"/>
    </row>
    <row r="17" spans="1:2" x14ac:dyDescent="0.25">
      <c r="A17" t="s">
        <v>2</v>
      </c>
      <c r="B17" t="s">
        <v>3</v>
      </c>
    </row>
    <row r="18" spans="1:2" x14ac:dyDescent="0.25">
      <c r="A18" t="s">
        <v>18</v>
      </c>
      <c r="B18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D9AA-F055-4D19-91E1-6F4926665790}">
  <dimension ref="A1:G42"/>
  <sheetViews>
    <sheetView topLeftCell="A12" workbookViewId="0">
      <selection activeCell="D19" sqref="D19"/>
    </sheetView>
  </sheetViews>
  <sheetFormatPr defaultRowHeight="15" x14ac:dyDescent="0.25"/>
  <cols>
    <col min="1" max="1" width="12.7109375" customWidth="1"/>
    <col min="2" max="2" width="20.5703125" customWidth="1"/>
  </cols>
  <sheetData>
    <row r="1" spans="1:7" x14ac:dyDescent="0.25">
      <c r="A1" t="s">
        <v>0</v>
      </c>
      <c r="G1" t="s">
        <v>41</v>
      </c>
    </row>
    <row r="2" spans="1:7" x14ac:dyDescent="0.25">
      <c r="A2" t="s">
        <v>36</v>
      </c>
    </row>
    <row r="3" spans="1:7" x14ac:dyDescent="0.25">
      <c r="A3" t="s">
        <v>37</v>
      </c>
    </row>
    <row r="4" spans="1:7" x14ac:dyDescent="0.25">
      <c r="A4" t="s">
        <v>38</v>
      </c>
    </row>
    <row r="5" spans="1:7" x14ac:dyDescent="0.25">
      <c r="A5" t="s">
        <v>39</v>
      </c>
    </row>
    <row r="6" spans="1:7" x14ac:dyDescent="0.25">
      <c r="A6" t="s">
        <v>40</v>
      </c>
    </row>
    <row r="8" spans="1:7" x14ac:dyDescent="0.25">
      <c r="A8" t="s">
        <v>2</v>
      </c>
      <c r="B8" t="s">
        <v>48</v>
      </c>
      <c r="C8" s="3" t="s">
        <v>49</v>
      </c>
    </row>
    <row r="9" spans="1:7" x14ac:dyDescent="0.25">
      <c r="A9" t="s">
        <v>6</v>
      </c>
      <c r="B9" t="str">
        <f>VLOOKUP(A9,Sheet1!A2:F10,2,0)</f>
        <v>Rahul Sharma</v>
      </c>
    </row>
    <row r="10" spans="1:7" x14ac:dyDescent="0.25">
      <c r="A10" t="s">
        <v>10</v>
      </c>
      <c r="B10" t="str">
        <f>VLOOKUP(A10,Sheet1!A3:F11,2,0)</f>
        <v>Ananya Gupta</v>
      </c>
    </row>
    <row r="11" spans="1:7" x14ac:dyDescent="0.25">
      <c r="A11" t="s">
        <v>14</v>
      </c>
      <c r="B11" t="str">
        <f>VLOOKUP(A11,Sheet1!A4:F12,2,0)</f>
        <v>Rohit Verma</v>
      </c>
    </row>
    <row r="12" spans="1:7" x14ac:dyDescent="0.25">
      <c r="A12" t="s">
        <v>18</v>
      </c>
      <c r="B12" t="str">
        <f>VLOOKUP(A12,Sheet1!A5:F13,2,0)</f>
        <v>Neha Singh</v>
      </c>
    </row>
    <row r="13" spans="1:7" x14ac:dyDescent="0.25">
      <c r="A13" t="s">
        <v>22</v>
      </c>
      <c r="B13" t="str">
        <f>VLOOKUP(A13,Sheet1!A6:F14,2,0)</f>
        <v>Aman Kumar</v>
      </c>
    </row>
    <row r="14" spans="1:7" x14ac:dyDescent="0.25">
      <c r="A14" t="s">
        <v>25</v>
      </c>
      <c r="B14" t="str">
        <f>VLOOKUP(A14,Sheet1!A7:F15,2,0)</f>
        <v>Pooja Mehta</v>
      </c>
    </row>
    <row r="15" spans="1:7" x14ac:dyDescent="0.25">
      <c r="A15" t="s">
        <v>28</v>
      </c>
      <c r="B15" t="str">
        <f>VLOOKUP(A15,Sheet1!A8:F16,2,0)</f>
        <v>Suresh Rao</v>
      </c>
    </row>
    <row r="16" spans="1:7" x14ac:dyDescent="0.25">
      <c r="A16" t="s">
        <v>31</v>
      </c>
      <c r="B16" t="str">
        <f>VLOOKUP(A16,Sheet1!A9:F17,2,0)</f>
        <v>Kavita Iyer</v>
      </c>
    </row>
    <row r="18" spans="1:4" x14ac:dyDescent="0.25">
      <c r="C18" t="s">
        <v>70</v>
      </c>
      <c r="D18">
        <f>IFERROR(VLOOKUP(C18,Sheet1!A2:F10,5),"not FOUND")</f>
        <v>45000</v>
      </c>
    </row>
    <row r="19" spans="1:4" x14ac:dyDescent="0.25">
      <c r="A19" s="3" t="s">
        <v>50</v>
      </c>
    </row>
    <row r="21" spans="1:4" x14ac:dyDescent="0.25">
      <c r="A21" t="s">
        <v>51</v>
      </c>
      <c r="B21" t="s">
        <v>52</v>
      </c>
    </row>
    <row r="22" spans="1:4" x14ac:dyDescent="0.25">
      <c r="A22" t="s">
        <v>14</v>
      </c>
      <c r="B22" t="str">
        <f>VLOOKUP(A22,Sheet1!A2:F10,3,0)</f>
        <v>IT</v>
      </c>
    </row>
    <row r="24" spans="1:4" x14ac:dyDescent="0.25">
      <c r="A24" s="3" t="s">
        <v>53</v>
      </c>
    </row>
    <row r="26" spans="1:4" x14ac:dyDescent="0.25">
      <c r="A26" t="s">
        <v>54</v>
      </c>
      <c r="B26">
        <f>VLOOKUP(A26,Sheet1!A2:F10,5)</f>
        <v>54000</v>
      </c>
    </row>
    <row r="29" spans="1:4" x14ac:dyDescent="0.25">
      <c r="A29" s="3" t="s">
        <v>55</v>
      </c>
    </row>
    <row r="31" spans="1:4" x14ac:dyDescent="0.25">
      <c r="A31" t="s">
        <v>56</v>
      </c>
    </row>
    <row r="32" spans="1:4" x14ac:dyDescent="0.25">
      <c r="A32" t="s">
        <v>28</v>
      </c>
      <c r="B32" t="str">
        <f>VLOOKUP(A32,Sheet1!A2:F10,4,0)</f>
        <v>Hyderabad</v>
      </c>
    </row>
    <row r="34" spans="1:2" x14ac:dyDescent="0.25">
      <c r="A34" s="3" t="s">
        <v>57</v>
      </c>
    </row>
    <row r="36" spans="1:2" x14ac:dyDescent="0.25">
      <c r="A36" t="s">
        <v>58</v>
      </c>
    </row>
    <row r="37" spans="1:2" x14ac:dyDescent="0.25">
      <c r="A37" t="s">
        <v>59</v>
      </c>
      <c r="B37">
        <f>'VL TASK 1-6'!C1</f>
        <v>0</v>
      </c>
    </row>
    <row r="39" spans="1:2" x14ac:dyDescent="0.25">
      <c r="A39" s="3" t="s">
        <v>60</v>
      </c>
    </row>
    <row r="41" spans="1:2" x14ac:dyDescent="0.25">
      <c r="A41" t="s">
        <v>51</v>
      </c>
    </row>
    <row r="42" spans="1:2" x14ac:dyDescent="0.25">
      <c r="A42" t="s">
        <v>6</v>
      </c>
      <c r="B42">
        <f>VLOOKUP(A42,Sheet1!A2:F10,6,0)</f>
        <v>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CCA0-76BE-4DD1-A9C8-BC98CA59B6C5}">
  <dimension ref="A1:C16"/>
  <sheetViews>
    <sheetView tabSelected="1" workbookViewId="0">
      <selection activeCell="B29" sqref="B29"/>
    </sheetView>
  </sheetViews>
  <sheetFormatPr defaultRowHeight="15" x14ac:dyDescent="0.25"/>
  <sheetData>
    <row r="1" spans="1:3" x14ac:dyDescent="0.25">
      <c r="A1" t="s">
        <v>62</v>
      </c>
    </row>
    <row r="2" spans="1:3" x14ac:dyDescent="0.25">
      <c r="A2" t="s">
        <v>63</v>
      </c>
    </row>
    <row r="3" spans="1:3" x14ac:dyDescent="0.25">
      <c r="A3" t="s">
        <v>64</v>
      </c>
    </row>
    <row r="4" spans="1:3" x14ac:dyDescent="0.25">
      <c r="A4" t="s">
        <v>61</v>
      </c>
    </row>
    <row r="5" spans="1:3" x14ac:dyDescent="0.25">
      <c r="A5" t="s">
        <v>65</v>
      </c>
    </row>
    <row r="7" spans="1:3" x14ac:dyDescent="0.25">
      <c r="A7" s="4" t="s">
        <v>66</v>
      </c>
    </row>
    <row r="10" spans="1:3" x14ac:dyDescent="0.25">
      <c r="B10" t="s">
        <v>69</v>
      </c>
      <c r="C10" s="5">
        <f>HLOOKUP(B10,Sheet1!A13:F14,2)</f>
        <v>0.09</v>
      </c>
    </row>
    <row r="12" spans="1:3" x14ac:dyDescent="0.25">
      <c r="A12" s="4" t="s">
        <v>71</v>
      </c>
    </row>
    <row r="14" spans="1:3" x14ac:dyDescent="0.25">
      <c r="A14" t="s">
        <v>72</v>
      </c>
      <c r="B14" s="5">
        <f>HLOOKUP(A14,Sheet1!A13:F14,2)</f>
        <v>0.09</v>
      </c>
    </row>
    <row r="15" spans="1:3" x14ac:dyDescent="0.25">
      <c r="B15" s="5"/>
    </row>
    <row r="16" spans="1:3" x14ac:dyDescent="0.25">
      <c r="A16" s="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VL TASK 1-6</vt:lpstr>
      <vt:lpstr>HL TASK 7-10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Library6</dc:creator>
  <cp:lastModifiedBy>Library6</cp:lastModifiedBy>
  <dcterms:created xsi:type="dcterms:W3CDTF">2026-07-04T06:07:08Z</dcterms:created>
  <dcterms:modified xsi:type="dcterms:W3CDTF">2026-07-06T04:49:00Z</dcterms:modified>
</cp:coreProperties>
</file>