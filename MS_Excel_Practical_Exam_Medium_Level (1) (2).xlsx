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fa4164c4f33d67c/Desktop/"/>
    </mc:Choice>
  </mc:AlternateContent>
  <xr:revisionPtr revIDLastSave="0" documentId="8_{80A4CC1D-91F6-42A7-8266-44BC87831AE0}" xr6:coauthVersionLast="47" xr6:coauthVersionMax="47" xr10:uidLastSave="{00000000-0000-0000-0000-000000000000}"/>
  <bookViews>
    <workbookView xWindow="-120" yWindow="-120" windowWidth="21840" windowHeight="1302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 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8" i="6" l="1"/>
  <c r="H99" i="6"/>
  <c r="H100" i="6"/>
  <c r="H101" i="6"/>
  <c r="H102" i="6"/>
  <c r="H97" i="6"/>
  <c r="J86" i="6"/>
  <c r="I86" i="6"/>
  <c r="H85" i="6" a="1"/>
  <c r="H85" i="6" s="1"/>
  <c r="I75" i="6"/>
  <c r="I76" i="6"/>
  <c r="I77" i="6"/>
  <c r="I78" i="6"/>
  <c r="I79" i="6"/>
  <c r="I80" i="6"/>
  <c r="H74" i="6" a="1"/>
  <c r="H74" i="6" s="1"/>
  <c r="D69" i="6"/>
  <c r="D68" i="6"/>
  <c r="D67" i="6"/>
  <c r="D66" i="6"/>
  <c r="H58" i="6" a="1"/>
  <c r="H58" i="6" s="1"/>
  <c r="E52" i="6"/>
  <c r="H44" i="6" a="1"/>
  <c r="H44" i="6" s="1"/>
  <c r="J40" i="6"/>
  <c r="H33" i="6" a="1"/>
  <c r="J39" i="6" s="1"/>
  <c r="J24" i="6"/>
  <c r="J25" i="6"/>
  <c r="J26" i="6"/>
  <c r="J27" i="6"/>
  <c r="J28" i="6"/>
  <c r="J23" i="6"/>
  <c r="H22" i="6" a="1"/>
  <c r="H22" i="6" s="1"/>
  <c r="H3" i="6" a="1"/>
  <c r="H3" i="6" s="1"/>
  <c r="J32" i="5"/>
  <c r="J36" i="6" l="1"/>
  <c r="J37" i="6"/>
  <c r="J38" i="6"/>
  <c r="H33" i="6"/>
  <c r="J34" i="6"/>
  <c r="J3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<sst xmlns="http://schemas.openxmlformats.org/spreadsheetml/2006/main" count="396" uniqueCount="84">
  <si>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</si>
  <si>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</si>
  <si>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</si>
  <si>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</si>
  <si>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</si>
  <si>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</si>
  <si>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</si>
  <si>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</si>
  <si>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</si>
  <si>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</si>
  <si>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</si>
  <si>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</si>
  <si>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</si>
  <si>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</si>
  <si>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</si>
  <si>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</si>
  <si>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</si>
  <si>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</si>
  <si>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</si>
  <si>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</si>
  <si>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</si>
  <si>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</si>
  <si>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</si>
  <si>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</si>
  <si>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</si>
  <si>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</si>
  <si>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</si>
  <si>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</si>
  <si>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</si>
  <si>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</si>
  <si>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</si>
  <si>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</si>
  <si>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</si>
  <si>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</si>
  <si>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</si>
  <si>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</si>
  <si>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</si>
  <si>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</si>
  <si>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</si>
  <si>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</si>
  <si>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</si>
  <si>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</si>
  <si>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</si>
  <si>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</si>
  <si>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</si>
  <si>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</si>
  <si>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</si>
  <si>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</si>
  <si>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</si>
  <si>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</si>
  <si>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</si>
  <si>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</si>
  <si>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</si>
  <si>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</si>
  <si>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</si>
  <si>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</si>
  <si>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</si>
  <si>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</si>
  <si>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</si>
  <si>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</si>
  <si>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</si>
  <si>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</si>
  <si>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</si>
  <si>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</si>
  <si>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</si>
  <si>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</si>
  <si>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</si>
  <si>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</si>
  <si>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</si>
  <si>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</si>
  <si>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</si>
  <si>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</si>
  <si>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               Unit_Price</t>
  </si>
  <si>
    <t xml:space="preserve">                          Unit_Price       </t>
  </si>
  <si>
    <t xml:space="preserve">                     GST</t>
  </si>
  <si>
    <t xml:space="preserve">                  FINALIST</t>
  </si>
  <si>
    <t>NORTH</t>
  </si>
  <si>
    <t>SOUTH</t>
  </si>
  <si>
    <t>EAST</t>
  </si>
  <si>
    <t>WEST</t>
  </si>
  <si>
    <t>&gt;3 High</t>
  </si>
  <si>
    <t>max</t>
  </si>
  <si>
    <t>min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</si>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</sst>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5" x14ac:dyDescent="0.25"/>
  <cols>
    <col min="3" max="3" width="11.85546875" customWidth="1"/>
    <col min="6" max="6" width="16.85546875" customWidth="1"/>
    <col min="7" max="7" width="12.855468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72</v>
      </c>
      <c r="G1" t="s">
        <v>9</v>
      </c>
    </row>
    <row r="2" spans="1:7" x14ac:dyDescent="0.25">
      <c r="A2">
        <v>301</v>
      </c>
      <c r="B2" t="s">
        <v>10</v>
      </c>
      <c r="C2" t="s">
        <v>11</v>
      </c>
      <c r="D2" t="s">
        <v>12</v>
      </c>
      <c r="E2">
        <v>2</v>
      </c>
      <c r="F2">
        <v>45000</v>
      </c>
      <c r="G2" t="s">
        <v>13</v>
      </c>
    </row>
    <row r="3" spans="1:7" x14ac:dyDescent="0.25">
      <c r="A3">
        <v>302</v>
      </c>
      <c r="B3" t="s">
        <v>14</v>
      </c>
      <c r="C3" t="s">
        <v>15</v>
      </c>
      <c r="D3" t="s">
        <v>16</v>
      </c>
      <c r="E3">
        <v>5</v>
      </c>
      <c r="F3">
        <v>15000</v>
      </c>
      <c r="G3" t="s">
        <v>17</v>
      </c>
    </row>
    <row r="4" spans="1:7" x14ac:dyDescent="0.25">
      <c r="A4">
        <v>303</v>
      </c>
      <c r="B4" t="s">
        <v>18</v>
      </c>
      <c r="C4" t="s">
        <v>19</v>
      </c>
      <c r="D4" t="s">
        <v>20</v>
      </c>
      <c r="E4">
        <v>3</v>
      </c>
      <c r="F4">
        <v>18000</v>
      </c>
      <c r="G4" t="s">
        <v>21</v>
      </c>
    </row>
    <row r="5" spans="1:7" x14ac:dyDescent="0.25">
      <c r="A5">
        <v>304</v>
      </c>
      <c r="B5" t="s">
        <v>22</v>
      </c>
      <c r="C5" t="s">
        <v>23</v>
      </c>
      <c r="D5" t="s">
        <v>12</v>
      </c>
      <c r="E5">
        <v>1</v>
      </c>
      <c r="F5">
        <v>45000</v>
      </c>
      <c r="G5" t="s">
        <v>24</v>
      </c>
    </row>
    <row r="6" spans="1:7" x14ac:dyDescent="0.25">
      <c r="A6">
        <v>305</v>
      </c>
      <c r="B6" t="s">
        <v>10</v>
      </c>
      <c r="C6" t="s">
        <v>11</v>
      </c>
      <c r="D6" t="s">
        <v>16</v>
      </c>
      <c r="E6">
        <v>4</v>
      </c>
      <c r="F6">
        <v>15000</v>
      </c>
      <c r="G6" t="s">
        <v>25</v>
      </c>
    </row>
    <row r="7" spans="1:7" x14ac:dyDescent="0.25">
      <c r="A7">
        <v>306</v>
      </c>
      <c r="B7" t="s">
        <v>14</v>
      </c>
      <c r="C7" t="s">
        <v>15</v>
      </c>
      <c r="D7" t="s">
        <v>12</v>
      </c>
      <c r="E7">
        <v>2</v>
      </c>
      <c r="F7">
        <v>45000</v>
      </c>
      <c r="G7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27</v>
      </c>
      <c r="C1" t="s">
        <v>28</v>
      </c>
    </row>
    <row r="2" spans="1:3" x14ac:dyDescent="0.25">
      <c r="A2" t="s">
        <v>12</v>
      </c>
      <c r="B2" t="s">
        <v>29</v>
      </c>
      <c r="C2">
        <v>18</v>
      </c>
    </row>
    <row r="3" spans="1:3" x14ac:dyDescent="0.25">
      <c r="A3" t="s">
        <v>16</v>
      </c>
      <c r="B3" t="s">
        <v>29</v>
      </c>
      <c r="C3">
        <v>12</v>
      </c>
    </row>
    <row r="4" spans="1:3" x14ac:dyDescent="0.25">
      <c r="A4" t="s">
        <v>20</v>
      </c>
      <c r="B4" t="s">
        <v>29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>
        <v>1</v>
      </c>
      <c r="B2" t="s">
        <v>36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37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38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39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40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2" workbookViewId="0">
      <selection activeCell="A10" sqref="A10:E10"/>
    </sheetView>
  </sheetViews>
  <sheetFormatPr defaultRowHeight="15" x14ac:dyDescent="0.25"/>
  <sheetData>
    <row r="1" spans="1:10" x14ac:dyDescent="0.25">
      <c r="A1" t="s">
        <v>41</v>
      </c>
      <c r="J1">
        <v>2</v>
      </c>
    </row>
    <row r="2" spans="1:10" x14ac:dyDescent="0.25">
      <c r="A2" t="s">
        <v>42</v>
      </c>
      <c r="J2">
        <v>2</v>
      </c>
    </row>
    <row r="3" spans="1:10" x14ac:dyDescent="0.25">
      <c r="A3" t="s">
        <v>43</v>
      </c>
      <c r="J3">
        <v>2</v>
      </c>
    </row>
    <row r="4" spans="1:10" x14ac:dyDescent="0.25">
      <c r="A4" s="4" t="s">
        <v>44</v>
      </c>
      <c r="B4" s="4"/>
      <c r="C4" s="4"/>
      <c r="D4" s="4"/>
      <c r="J4">
        <v>2</v>
      </c>
    </row>
    <row r="5" spans="1:10" x14ac:dyDescent="0.25">
      <c r="A5" t="s">
        <v>45</v>
      </c>
      <c r="J5">
        <v>2</v>
      </c>
    </row>
    <row r="6" spans="1:10" x14ac:dyDescent="0.25">
      <c r="A6" t="s">
        <v>46</v>
      </c>
      <c r="J6">
        <v>2</v>
      </c>
    </row>
    <row r="7" spans="1:10" x14ac:dyDescent="0.25">
      <c r="A7" t="s">
        <v>47</v>
      </c>
      <c r="J7">
        <v>2</v>
      </c>
    </row>
    <row r="8" spans="1:10" x14ac:dyDescent="0.25">
      <c r="A8" t="s">
        <v>48</v>
      </c>
      <c r="J8">
        <v>2</v>
      </c>
    </row>
    <row r="9" spans="1:10" x14ac:dyDescent="0.25">
      <c r="A9" t="s">
        <v>49</v>
      </c>
      <c r="J9">
        <v>2</v>
      </c>
    </row>
    <row r="10" spans="1:10" x14ac:dyDescent="0.25">
      <c r="A10" t="s">
        <v>50</v>
      </c>
      <c r="J10">
        <v>2</v>
      </c>
    </row>
    <row r="11" spans="1:10" x14ac:dyDescent="0.25">
      <c r="A11" t="s">
        <v>51</v>
      </c>
      <c r="J11">
        <v>2</v>
      </c>
    </row>
    <row r="12" spans="1:10" x14ac:dyDescent="0.25">
      <c r="A12" t="s">
        <v>52</v>
      </c>
      <c r="J12">
        <v>2</v>
      </c>
    </row>
    <row r="13" spans="1:10" x14ac:dyDescent="0.25">
      <c r="A13" t="s">
        <v>53</v>
      </c>
      <c r="J13">
        <v>2</v>
      </c>
    </row>
    <row r="14" spans="1:10" x14ac:dyDescent="0.25">
      <c r="A14" t="s">
        <v>54</v>
      </c>
      <c r="J14">
        <v>2</v>
      </c>
    </row>
    <row r="15" spans="1:10" x14ac:dyDescent="0.25">
      <c r="A15" t="s">
        <v>55</v>
      </c>
      <c r="J15">
        <v>2</v>
      </c>
    </row>
    <row r="16" spans="1:10" x14ac:dyDescent="0.25">
      <c r="A16" t="s">
        <v>56</v>
      </c>
      <c r="J16">
        <v>2</v>
      </c>
    </row>
    <row r="17" spans="1:10" x14ac:dyDescent="0.25">
      <c r="A17" t="s">
        <v>57</v>
      </c>
      <c r="J17">
        <v>2</v>
      </c>
    </row>
    <row r="18" spans="1:10" x14ac:dyDescent="0.25">
      <c r="A18" t="s">
        <v>58</v>
      </c>
      <c r="J18">
        <v>2</v>
      </c>
    </row>
    <row r="19" spans="1:10" x14ac:dyDescent="0.25">
      <c r="A19" t="s">
        <v>59</v>
      </c>
      <c r="J19">
        <v>2</v>
      </c>
    </row>
    <row r="20" spans="1:10" x14ac:dyDescent="0.25">
      <c r="A20" t="s">
        <v>60</v>
      </c>
      <c r="J20">
        <v>2</v>
      </c>
    </row>
    <row r="21" spans="1:10" x14ac:dyDescent="0.25">
      <c r="A21" t="s">
        <v>61</v>
      </c>
      <c r="J21">
        <v>2</v>
      </c>
    </row>
    <row r="22" spans="1:10" x14ac:dyDescent="0.25">
      <c r="A22" t="s">
        <v>62</v>
      </c>
      <c r="J22">
        <v>2</v>
      </c>
    </row>
    <row r="23" spans="1:10" x14ac:dyDescent="0.25">
      <c r="A23" t="s">
        <v>63</v>
      </c>
      <c r="J23">
        <v>2</v>
      </c>
    </row>
    <row r="24" spans="1:10" x14ac:dyDescent="0.25">
      <c r="A24" t="s">
        <v>64</v>
      </c>
      <c r="J24">
        <v>2</v>
      </c>
    </row>
    <row r="25" spans="1:10" x14ac:dyDescent="0.25">
      <c r="A25" t="s">
        <v>65</v>
      </c>
      <c r="J25">
        <v>2</v>
      </c>
    </row>
    <row r="26" spans="1:10" x14ac:dyDescent="0.25">
      <c r="A26" t="s">
        <v>66</v>
      </c>
      <c r="J26">
        <v>2</v>
      </c>
    </row>
    <row r="27" spans="1:10" x14ac:dyDescent="0.25">
      <c r="A27" t="s">
        <v>67</v>
      </c>
      <c r="J27">
        <v>2</v>
      </c>
    </row>
    <row r="28" spans="1:10" x14ac:dyDescent="0.25">
      <c r="A28" t="s">
        <v>68</v>
      </c>
      <c r="J28">
        <v>2</v>
      </c>
    </row>
    <row r="29" spans="1:10" x14ac:dyDescent="0.25">
      <c r="A29" t="s">
        <v>69</v>
      </c>
      <c r="J29">
        <v>2</v>
      </c>
    </row>
    <row r="30" spans="1:10" x14ac:dyDescent="0.25">
      <c r="A30" t="s">
        <v>70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B1B-1101-43C5-A550-371CDC84FF30}">
  <dimension ref="A1:J112"/>
  <sheetViews>
    <sheetView tabSelected="1" topLeftCell="A98" zoomScale="85" zoomScaleNormal="85" workbookViewId="0">
      <selection activeCell="H97" sqref="H97"/>
    </sheetView>
  </sheetViews>
  <sheetFormatPr defaultRowHeight="15" x14ac:dyDescent="0.25"/>
  <cols>
    <col min="1" max="1" width="12.140625" customWidth="1"/>
    <col min="2" max="2" width="9.85546875" bestFit="1" customWidth="1"/>
    <col min="3" max="3" width="14.140625" customWidth="1"/>
    <col min="6" max="6" width="27.140625" customWidth="1"/>
    <col min="7" max="7" width="14.5703125" customWidth="1"/>
    <col min="8" max="8" width="22.42578125" customWidth="1"/>
    <col min="9" max="9" width="13.42578125" customWidth="1"/>
    <col min="10" max="10" width="17" customWidth="1"/>
  </cols>
  <sheetData>
    <row r="1" spans="1:8" x14ac:dyDescent="0.25">
      <c r="A1" s="2" t="s">
        <v>41</v>
      </c>
      <c r="B1" s="2"/>
      <c r="C1" s="2"/>
      <c r="D1" s="2"/>
      <c r="E1" s="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73</v>
      </c>
      <c r="G3" t="s">
        <v>9</v>
      </c>
      <c r="H3" t="e" cm="1">
        <f t="array" ref="H3:H9">E3:E9*F3:F9</f>
        <v>#VALUE!</v>
      </c>
    </row>
    <row r="4" spans="1:8" x14ac:dyDescent="0.25">
      <c r="A4">
        <v>301</v>
      </c>
      <c r="B4" t="s">
        <v>10</v>
      </c>
      <c r="C4" t="s">
        <v>11</v>
      </c>
      <c r="D4" t="s">
        <v>12</v>
      </c>
      <c r="E4">
        <v>2</v>
      </c>
      <c r="F4">
        <v>45000</v>
      </c>
      <c r="G4" t="s">
        <v>13</v>
      </c>
      <c r="H4" s="1">
        <v>90000</v>
      </c>
    </row>
    <row r="5" spans="1:8" x14ac:dyDescent="0.25">
      <c r="A5">
        <v>302</v>
      </c>
      <c r="B5" t="s">
        <v>14</v>
      </c>
      <c r="C5" t="s">
        <v>15</v>
      </c>
      <c r="D5" t="s">
        <v>16</v>
      </c>
      <c r="E5">
        <v>5</v>
      </c>
      <c r="F5">
        <v>15000</v>
      </c>
      <c r="G5" t="s">
        <v>17</v>
      </c>
      <c r="H5" s="1">
        <v>75000</v>
      </c>
    </row>
    <row r="6" spans="1:8" x14ac:dyDescent="0.25">
      <c r="A6">
        <v>303</v>
      </c>
      <c r="B6" t="s">
        <v>18</v>
      </c>
      <c r="C6" t="s">
        <v>19</v>
      </c>
      <c r="D6" t="s">
        <v>20</v>
      </c>
      <c r="E6">
        <v>3</v>
      </c>
      <c r="F6">
        <v>18000</v>
      </c>
      <c r="G6" t="s">
        <v>21</v>
      </c>
      <c r="H6" s="1">
        <v>54000</v>
      </c>
    </row>
    <row r="7" spans="1:8" x14ac:dyDescent="0.25">
      <c r="A7">
        <v>304</v>
      </c>
      <c r="B7" t="s">
        <v>22</v>
      </c>
      <c r="C7" t="s">
        <v>23</v>
      </c>
      <c r="D7" t="s">
        <v>12</v>
      </c>
      <c r="E7">
        <v>1</v>
      </c>
      <c r="F7">
        <v>45000</v>
      </c>
      <c r="G7" t="s">
        <v>24</v>
      </c>
      <c r="H7" s="1">
        <v>45000</v>
      </c>
    </row>
    <row r="8" spans="1:8" x14ac:dyDescent="0.25">
      <c r="A8">
        <v>305</v>
      </c>
      <c r="B8" t="s">
        <v>10</v>
      </c>
      <c r="C8" t="s">
        <v>11</v>
      </c>
      <c r="D8" t="s">
        <v>16</v>
      </c>
      <c r="E8">
        <v>4</v>
      </c>
      <c r="F8">
        <v>15000</v>
      </c>
      <c r="G8" t="s">
        <v>25</v>
      </c>
      <c r="H8" s="1">
        <v>60000</v>
      </c>
    </row>
    <row r="9" spans="1:8" x14ac:dyDescent="0.25">
      <c r="A9">
        <v>306</v>
      </c>
      <c r="B9" t="s">
        <v>14</v>
      </c>
      <c r="C9" t="s">
        <v>15</v>
      </c>
      <c r="D9" t="s">
        <v>12</v>
      </c>
      <c r="E9">
        <v>2</v>
      </c>
      <c r="F9">
        <v>45000</v>
      </c>
      <c r="G9" t="s">
        <v>26</v>
      </c>
      <c r="H9" s="1">
        <v>90000</v>
      </c>
    </row>
    <row r="12" spans="1:8" x14ac:dyDescent="0.25">
      <c r="A12" s="2" t="s">
        <v>42</v>
      </c>
      <c r="B12" s="2"/>
      <c r="C12" s="2"/>
      <c r="D12" s="2"/>
      <c r="E12" s="2"/>
    </row>
    <row r="14" spans="1:8" x14ac:dyDescent="0.25">
      <c r="A14" t="s">
        <v>7</v>
      </c>
      <c r="B14" t="s">
        <v>27</v>
      </c>
      <c r="C14" t="s">
        <v>28</v>
      </c>
    </row>
    <row r="15" spans="1:8" x14ac:dyDescent="0.25">
      <c r="A15" t="s">
        <v>12</v>
      </c>
      <c r="B15" t="s">
        <v>29</v>
      </c>
      <c r="C15">
        <v>18</v>
      </c>
    </row>
    <row r="16" spans="1:8" x14ac:dyDescent="0.25">
      <c r="A16" t="s">
        <v>16</v>
      </c>
      <c r="B16" t="s">
        <v>29</v>
      </c>
      <c r="C16">
        <v>12</v>
      </c>
    </row>
    <row r="17" spans="1:10" x14ac:dyDescent="0.25">
      <c r="A17" t="s">
        <v>20</v>
      </c>
      <c r="B17" t="s">
        <v>29</v>
      </c>
      <c r="C17">
        <v>12</v>
      </c>
    </row>
    <row r="20" spans="1:10" x14ac:dyDescent="0.25">
      <c r="A20" s="2" t="s">
        <v>43</v>
      </c>
      <c r="B20" s="2"/>
      <c r="C20" s="2"/>
      <c r="D20" s="2"/>
    </row>
    <row r="22" spans="1:10" x14ac:dyDescent="0.25">
      <c r="A22" t="s">
        <v>4</v>
      </c>
      <c r="B22" t="s">
        <v>5</v>
      </c>
      <c r="C22" t="s">
        <v>6</v>
      </c>
      <c r="D22" t="s">
        <v>7</v>
      </c>
      <c r="E22" t="s">
        <v>8</v>
      </c>
      <c r="F22" t="s">
        <v>73</v>
      </c>
      <c r="G22" t="s">
        <v>9</v>
      </c>
      <c r="H22" t="e" cm="1">
        <f t="array" ref="H22:H28">E22:E28*F22:F28</f>
        <v>#VALUE!</v>
      </c>
      <c r="I22" t="s">
        <v>74</v>
      </c>
      <c r="J22" t="s">
        <v>75</v>
      </c>
    </row>
    <row r="23" spans="1:10" x14ac:dyDescent="0.25">
      <c r="A23">
        <v>301</v>
      </c>
      <c r="B23" t="s">
        <v>10</v>
      </c>
      <c r="C23" t="s">
        <v>11</v>
      </c>
      <c r="D23" t="s">
        <v>12</v>
      </c>
      <c r="E23">
        <v>2</v>
      </c>
      <c r="F23">
        <v>45000</v>
      </c>
      <c r="G23" t="s">
        <v>13</v>
      </c>
      <c r="H23" s="1">
        <v>90000</v>
      </c>
      <c r="I23" s="3">
        <v>0.18</v>
      </c>
      <c r="J23" s="1">
        <f>H23*I23</f>
        <v>16200</v>
      </c>
    </row>
    <row r="24" spans="1:10" x14ac:dyDescent="0.25">
      <c r="A24">
        <v>302</v>
      </c>
      <c r="B24" t="s">
        <v>14</v>
      </c>
      <c r="C24" t="s">
        <v>15</v>
      </c>
      <c r="D24" t="s">
        <v>16</v>
      </c>
      <c r="E24">
        <v>5</v>
      </c>
      <c r="F24">
        <v>15000</v>
      </c>
      <c r="G24" t="s">
        <v>17</v>
      </c>
      <c r="H24" s="1">
        <v>75000</v>
      </c>
      <c r="I24" s="3">
        <v>0.12</v>
      </c>
      <c r="J24" s="1">
        <f t="shared" ref="J24:J28" si="0">H24*I24</f>
        <v>9000</v>
      </c>
    </row>
    <row r="25" spans="1:10" x14ac:dyDescent="0.25">
      <c r="A25">
        <v>303</v>
      </c>
      <c r="B25" t="s">
        <v>18</v>
      </c>
      <c r="C25" t="s">
        <v>19</v>
      </c>
      <c r="D25" t="s">
        <v>20</v>
      </c>
      <c r="E25">
        <v>3</v>
      </c>
      <c r="F25">
        <v>18000</v>
      </c>
      <c r="G25" t="s">
        <v>21</v>
      </c>
      <c r="H25" s="1">
        <v>54000</v>
      </c>
      <c r="I25" s="3">
        <v>0.12</v>
      </c>
      <c r="J25" s="1">
        <f t="shared" si="0"/>
        <v>6480</v>
      </c>
    </row>
    <row r="26" spans="1:10" x14ac:dyDescent="0.25">
      <c r="A26">
        <v>304</v>
      </c>
      <c r="B26" t="s">
        <v>22</v>
      </c>
      <c r="C26" t="s">
        <v>23</v>
      </c>
      <c r="D26" t="s">
        <v>12</v>
      </c>
      <c r="E26">
        <v>1</v>
      </c>
      <c r="F26">
        <v>45000</v>
      </c>
      <c r="G26" t="s">
        <v>24</v>
      </c>
      <c r="H26" s="1">
        <v>45000</v>
      </c>
      <c r="I26" s="3">
        <v>0.18</v>
      </c>
      <c r="J26" s="1">
        <f t="shared" si="0"/>
        <v>8100</v>
      </c>
    </row>
    <row r="27" spans="1:10" x14ac:dyDescent="0.25">
      <c r="A27">
        <v>305</v>
      </c>
      <c r="B27" t="s">
        <v>10</v>
      </c>
      <c r="C27" t="s">
        <v>11</v>
      </c>
      <c r="D27" t="s">
        <v>16</v>
      </c>
      <c r="E27">
        <v>4</v>
      </c>
      <c r="F27">
        <v>15000</v>
      </c>
      <c r="G27" t="s">
        <v>25</v>
      </c>
      <c r="H27" s="1">
        <v>60000</v>
      </c>
      <c r="I27" s="3">
        <v>0.12</v>
      </c>
      <c r="J27" s="1">
        <f t="shared" si="0"/>
        <v>7200</v>
      </c>
    </row>
    <row r="28" spans="1:10" x14ac:dyDescent="0.25">
      <c r="A28">
        <v>306</v>
      </c>
      <c r="B28" t="s">
        <v>14</v>
      </c>
      <c r="C28" t="s">
        <v>15</v>
      </c>
      <c r="D28" t="s">
        <v>12</v>
      </c>
      <c r="E28">
        <v>2</v>
      </c>
      <c r="F28">
        <v>45000</v>
      </c>
      <c r="G28" t="s">
        <v>26</v>
      </c>
      <c r="H28" s="1">
        <v>90000</v>
      </c>
      <c r="I28" s="3">
        <v>0.18</v>
      </c>
      <c r="J28" s="1">
        <f t="shared" si="0"/>
        <v>16200</v>
      </c>
    </row>
    <row r="31" spans="1:10" x14ac:dyDescent="0.25">
      <c r="A31" s="2" t="s">
        <v>44</v>
      </c>
      <c r="B31" s="2"/>
      <c r="C31" s="2"/>
      <c r="D31" s="2"/>
    </row>
    <row r="33" spans="1:10" x14ac:dyDescent="0.25">
      <c r="A33" t="s">
        <v>4</v>
      </c>
      <c r="B33" t="s">
        <v>5</v>
      </c>
      <c r="C33" t="s">
        <v>6</v>
      </c>
      <c r="D33" t="s">
        <v>7</v>
      </c>
      <c r="E33" t="s">
        <v>8</v>
      </c>
      <c r="F33" t="s">
        <v>73</v>
      </c>
      <c r="G33" t="s">
        <v>9</v>
      </c>
      <c r="H33" t="e" cm="1">
        <f t="array" ref="H33:H39">E33:E39*F33:F39</f>
        <v>#VALUE!</v>
      </c>
      <c r="I33" t="s">
        <v>74</v>
      </c>
      <c r="J33" t="s">
        <v>75</v>
      </c>
    </row>
    <row r="34" spans="1:10" x14ac:dyDescent="0.25">
      <c r="A34">
        <v>301</v>
      </c>
      <c r="B34" t="s">
        <v>10</v>
      </c>
      <c r="C34" t="s">
        <v>11</v>
      </c>
      <c r="D34" t="s">
        <v>12</v>
      </c>
      <c r="E34">
        <v>2</v>
      </c>
      <c r="F34">
        <v>45000</v>
      </c>
      <c r="G34" t="s">
        <v>13</v>
      </c>
      <c r="H34" s="1">
        <v>90000</v>
      </c>
      <c r="I34" s="3">
        <v>0.18</v>
      </c>
      <c r="J34" s="1">
        <f>H34*I34</f>
        <v>16200</v>
      </c>
    </row>
    <row r="35" spans="1:10" x14ac:dyDescent="0.25">
      <c r="A35">
        <v>302</v>
      </c>
      <c r="B35" t="s">
        <v>14</v>
      </c>
      <c r="C35" t="s">
        <v>15</v>
      </c>
      <c r="D35" t="s">
        <v>16</v>
      </c>
      <c r="E35">
        <v>5</v>
      </c>
      <c r="F35">
        <v>15000</v>
      </c>
      <c r="G35" t="s">
        <v>17</v>
      </c>
      <c r="H35" s="1">
        <v>75000</v>
      </c>
      <c r="I35" s="3">
        <v>0.12</v>
      </c>
      <c r="J35" s="1">
        <f t="shared" ref="J35:J39" si="1">H35*I35</f>
        <v>9000</v>
      </c>
    </row>
    <row r="36" spans="1:10" x14ac:dyDescent="0.25">
      <c r="A36">
        <v>303</v>
      </c>
      <c r="B36" t="s">
        <v>18</v>
      </c>
      <c r="C36" t="s">
        <v>19</v>
      </c>
      <c r="D36" t="s">
        <v>20</v>
      </c>
      <c r="E36">
        <v>3</v>
      </c>
      <c r="F36">
        <v>18000</v>
      </c>
      <c r="G36" t="s">
        <v>21</v>
      </c>
      <c r="H36" s="1">
        <v>54000</v>
      </c>
      <c r="I36" s="3">
        <v>0.12</v>
      </c>
      <c r="J36" s="1">
        <f t="shared" si="1"/>
        <v>6480</v>
      </c>
    </row>
    <row r="37" spans="1:10" x14ac:dyDescent="0.25">
      <c r="A37">
        <v>304</v>
      </c>
      <c r="B37" t="s">
        <v>22</v>
      </c>
      <c r="C37" t="s">
        <v>23</v>
      </c>
      <c r="D37" t="s">
        <v>12</v>
      </c>
      <c r="E37">
        <v>1</v>
      </c>
      <c r="F37">
        <v>45000</v>
      </c>
      <c r="G37" t="s">
        <v>24</v>
      </c>
      <c r="H37" s="1">
        <v>45000</v>
      </c>
      <c r="I37" s="3">
        <v>0.18</v>
      </c>
      <c r="J37" s="1">
        <f t="shared" si="1"/>
        <v>8100</v>
      </c>
    </row>
    <row r="38" spans="1:10" x14ac:dyDescent="0.25">
      <c r="A38">
        <v>305</v>
      </c>
      <c r="B38" t="s">
        <v>10</v>
      </c>
      <c r="C38" t="s">
        <v>11</v>
      </c>
      <c r="D38" t="s">
        <v>16</v>
      </c>
      <c r="E38">
        <v>4</v>
      </c>
      <c r="F38">
        <v>15000</v>
      </c>
      <c r="G38" t="s">
        <v>25</v>
      </c>
      <c r="H38" s="1">
        <v>60000</v>
      </c>
      <c r="I38" s="3">
        <v>0.12</v>
      </c>
      <c r="J38" s="1">
        <f t="shared" si="1"/>
        <v>7200</v>
      </c>
    </row>
    <row r="39" spans="1:10" x14ac:dyDescent="0.25">
      <c r="A39">
        <v>306</v>
      </c>
      <c r="B39" t="s">
        <v>14</v>
      </c>
      <c r="C39" t="s">
        <v>15</v>
      </c>
      <c r="D39" t="s">
        <v>12</v>
      </c>
      <c r="E39">
        <v>2</v>
      </c>
      <c r="F39">
        <v>45000</v>
      </c>
      <c r="G39" t="s">
        <v>26</v>
      </c>
      <c r="H39" s="1">
        <v>90000</v>
      </c>
      <c r="I39" s="3">
        <v>0.18</v>
      </c>
      <c r="J39" s="1">
        <f t="shared" si="1"/>
        <v>16200</v>
      </c>
    </row>
    <row r="40" spans="1:10" x14ac:dyDescent="0.25">
      <c r="J40" s="1">
        <f>SUM(J34:J39)</f>
        <v>63180</v>
      </c>
    </row>
    <row r="42" spans="1:10" x14ac:dyDescent="0.25">
      <c r="A42" s="2" t="s">
        <v>45</v>
      </c>
      <c r="B42" s="2"/>
      <c r="C42" s="2"/>
      <c r="D42" s="2"/>
    </row>
    <row r="44" spans="1:10" x14ac:dyDescent="0.25">
      <c r="A44" t="s">
        <v>4</v>
      </c>
      <c r="B44" t="s">
        <v>5</v>
      </c>
      <c r="C44" t="s">
        <v>6</v>
      </c>
      <c r="D44" t="s">
        <v>7</v>
      </c>
      <c r="E44" t="s">
        <v>8</v>
      </c>
      <c r="F44" t="s">
        <v>73</v>
      </c>
      <c r="G44" t="s">
        <v>9</v>
      </c>
      <c r="H44" t="e" cm="1">
        <f t="array" ref="H44:H50">E44:E50*F44:F50</f>
        <v>#VALUE!</v>
      </c>
    </row>
    <row r="45" spans="1:10" x14ac:dyDescent="0.25">
      <c r="A45">
        <v>301</v>
      </c>
      <c r="B45" t="s">
        <v>10</v>
      </c>
      <c r="C45" t="s">
        <v>11</v>
      </c>
      <c r="D45" t="s">
        <v>12</v>
      </c>
      <c r="E45">
        <v>2</v>
      </c>
      <c r="F45">
        <v>45000</v>
      </c>
      <c r="G45" t="s">
        <v>13</v>
      </c>
      <c r="H45" s="1">
        <v>90000</v>
      </c>
    </row>
    <row r="46" spans="1:10" x14ac:dyDescent="0.25">
      <c r="A46">
        <v>302</v>
      </c>
      <c r="B46" t="s">
        <v>14</v>
      </c>
      <c r="C46" t="s">
        <v>15</v>
      </c>
      <c r="D46" t="s">
        <v>16</v>
      </c>
      <c r="E46">
        <v>5</v>
      </c>
      <c r="F46">
        <v>15000</v>
      </c>
      <c r="G46" t="s">
        <v>17</v>
      </c>
      <c r="H46" s="1">
        <v>75000</v>
      </c>
    </row>
    <row r="47" spans="1:10" x14ac:dyDescent="0.25">
      <c r="A47">
        <v>303</v>
      </c>
      <c r="B47" t="s">
        <v>18</v>
      </c>
      <c r="C47" t="s">
        <v>19</v>
      </c>
      <c r="D47" t="s">
        <v>20</v>
      </c>
      <c r="E47">
        <v>3</v>
      </c>
      <c r="F47">
        <v>18000</v>
      </c>
      <c r="G47" t="s">
        <v>21</v>
      </c>
      <c r="H47" s="1">
        <v>54000</v>
      </c>
    </row>
    <row r="48" spans="1:10" x14ac:dyDescent="0.25">
      <c r="A48">
        <v>304</v>
      </c>
      <c r="B48" t="s">
        <v>22</v>
      </c>
      <c r="C48" t="s">
        <v>23</v>
      </c>
      <c r="D48" t="s">
        <v>12</v>
      </c>
      <c r="E48">
        <v>1</v>
      </c>
      <c r="F48">
        <v>45000</v>
      </c>
      <c r="G48" t="s">
        <v>24</v>
      </c>
      <c r="H48" s="1">
        <v>45000</v>
      </c>
    </row>
    <row r="49" spans="1:8" x14ac:dyDescent="0.25">
      <c r="A49">
        <v>305</v>
      </c>
      <c r="B49" t="s">
        <v>10</v>
      </c>
      <c r="C49" t="s">
        <v>11</v>
      </c>
      <c r="D49" t="s">
        <v>16</v>
      </c>
      <c r="E49">
        <v>4</v>
      </c>
      <c r="F49">
        <v>15000</v>
      </c>
      <c r="G49" t="s">
        <v>25</v>
      </c>
      <c r="H49" s="1">
        <v>60000</v>
      </c>
    </row>
    <row r="50" spans="1:8" x14ac:dyDescent="0.25">
      <c r="A50">
        <v>306</v>
      </c>
      <c r="B50" t="s">
        <v>14</v>
      </c>
      <c r="C50" t="s">
        <v>15</v>
      </c>
      <c r="D50" t="s">
        <v>12</v>
      </c>
      <c r="E50">
        <v>2</v>
      </c>
      <c r="F50">
        <v>45000</v>
      </c>
      <c r="G50" t="s">
        <v>26</v>
      </c>
      <c r="H50" s="1">
        <v>90000</v>
      </c>
    </row>
    <row r="52" spans="1:8" x14ac:dyDescent="0.25">
      <c r="E52">
        <f>COUNTA(E45:E50)</f>
        <v>6</v>
      </c>
    </row>
    <row r="56" spans="1:8" x14ac:dyDescent="0.25">
      <c r="A56" s="2" t="s">
        <v>46</v>
      </c>
      <c r="B56" s="2"/>
      <c r="C56" s="2"/>
      <c r="D56" s="2"/>
      <c r="E56" s="2"/>
    </row>
    <row r="58" spans="1:8" x14ac:dyDescent="0.25">
      <c r="A58" t="s">
        <v>4</v>
      </c>
      <c r="B58" t="s">
        <v>5</v>
      </c>
      <c r="C58" t="s">
        <v>6</v>
      </c>
      <c r="D58" t="s">
        <v>7</v>
      </c>
      <c r="E58" t="s">
        <v>8</v>
      </c>
      <c r="F58" t="s">
        <v>73</v>
      </c>
      <c r="G58" t="s">
        <v>9</v>
      </c>
      <c r="H58" t="e" cm="1">
        <f t="array" ref="H58:H64">E58:E64*F58:F64</f>
        <v>#VALUE!</v>
      </c>
    </row>
    <row r="59" spans="1:8" x14ac:dyDescent="0.25">
      <c r="A59">
        <v>301</v>
      </c>
      <c r="B59" t="s">
        <v>10</v>
      </c>
      <c r="C59" t="s">
        <v>11</v>
      </c>
      <c r="D59" t="s">
        <v>12</v>
      </c>
      <c r="E59">
        <v>2</v>
      </c>
      <c r="F59">
        <v>45000</v>
      </c>
      <c r="G59" t="s">
        <v>13</v>
      </c>
      <c r="H59" s="1">
        <v>90000</v>
      </c>
    </row>
    <row r="60" spans="1:8" x14ac:dyDescent="0.25">
      <c r="A60">
        <v>302</v>
      </c>
      <c r="B60" t="s">
        <v>14</v>
      </c>
      <c r="C60" t="s">
        <v>15</v>
      </c>
      <c r="D60" t="s">
        <v>16</v>
      </c>
      <c r="E60">
        <v>5</v>
      </c>
      <c r="F60">
        <v>15000</v>
      </c>
      <c r="G60" t="s">
        <v>17</v>
      </c>
      <c r="H60" s="1">
        <v>75000</v>
      </c>
    </row>
    <row r="61" spans="1:8" x14ac:dyDescent="0.25">
      <c r="A61">
        <v>303</v>
      </c>
      <c r="B61" t="s">
        <v>18</v>
      </c>
      <c r="C61" t="s">
        <v>19</v>
      </c>
      <c r="D61" t="s">
        <v>20</v>
      </c>
      <c r="E61">
        <v>3</v>
      </c>
      <c r="F61">
        <v>18000</v>
      </c>
      <c r="G61" t="s">
        <v>21</v>
      </c>
      <c r="H61" s="1">
        <v>54000</v>
      </c>
    </row>
    <row r="62" spans="1:8" x14ac:dyDescent="0.25">
      <c r="A62">
        <v>304</v>
      </c>
      <c r="B62" t="s">
        <v>22</v>
      </c>
      <c r="C62" t="s">
        <v>23</v>
      </c>
      <c r="D62" t="s">
        <v>12</v>
      </c>
      <c r="E62">
        <v>1</v>
      </c>
      <c r="F62">
        <v>45000</v>
      </c>
      <c r="G62" t="s">
        <v>24</v>
      </c>
      <c r="H62" s="1">
        <v>45000</v>
      </c>
    </row>
    <row r="63" spans="1:8" x14ac:dyDescent="0.25">
      <c r="A63">
        <v>305</v>
      </c>
      <c r="B63" t="s">
        <v>10</v>
      </c>
      <c r="C63" t="s">
        <v>11</v>
      </c>
      <c r="D63" t="s">
        <v>16</v>
      </c>
      <c r="E63">
        <v>4</v>
      </c>
      <c r="F63">
        <v>15000</v>
      </c>
      <c r="G63" t="s">
        <v>25</v>
      </c>
      <c r="H63" s="1">
        <v>60000</v>
      </c>
    </row>
    <row r="64" spans="1:8" x14ac:dyDescent="0.25">
      <c r="A64">
        <v>306</v>
      </c>
      <c r="B64" t="s">
        <v>14</v>
      </c>
      <c r="C64" t="s">
        <v>15</v>
      </c>
      <c r="D64" t="s">
        <v>12</v>
      </c>
      <c r="E64">
        <v>2</v>
      </c>
      <c r="F64">
        <v>45000</v>
      </c>
      <c r="G64" t="s">
        <v>26</v>
      </c>
      <c r="H64" s="1">
        <v>90000</v>
      </c>
    </row>
    <row r="66" spans="1:9" x14ac:dyDescent="0.25">
      <c r="C66" t="s">
        <v>76</v>
      </c>
      <c r="D66">
        <f>SUMIF(B58:B64, "North",E58:E64)</f>
        <v>6</v>
      </c>
    </row>
    <row r="67" spans="1:9" x14ac:dyDescent="0.25">
      <c r="C67" t="s">
        <v>77</v>
      </c>
      <c r="D67">
        <f>SUMIF(B59:B65, "South",E59:E65)</f>
        <v>7</v>
      </c>
    </row>
    <row r="68" spans="1:9" x14ac:dyDescent="0.25">
      <c r="C68" t="s">
        <v>78</v>
      </c>
      <c r="D68">
        <f>SUMIF(B60:B66, "East",E60:E66)</f>
        <v>3</v>
      </c>
    </row>
    <row r="69" spans="1:9" x14ac:dyDescent="0.25">
      <c r="C69" t="s">
        <v>79</v>
      </c>
      <c r="D69">
        <f>SUMIF(B61:B67, "West",E61:E67)</f>
        <v>1</v>
      </c>
    </row>
    <row r="72" spans="1:9" x14ac:dyDescent="0.25">
      <c r="A72" s="2" t="s">
        <v>47</v>
      </c>
      <c r="B72" s="2"/>
      <c r="C72" s="2"/>
      <c r="D72" s="2"/>
      <c r="E72" s="2"/>
      <c r="F72" s="2"/>
    </row>
    <row r="74" spans="1:9" x14ac:dyDescent="0.25">
      <c r="A74" t="s">
        <v>4</v>
      </c>
      <c r="B74" t="s">
        <v>5</v>
      </c>
      <c r="C74" t="s">
        <v>6</v>
      </c>
      <c r="D74" t="s">
        <v>7</v>
      </c>
      <c r="E74" t="s">
        <v>8</v>
      </c>
      <c r="F74" t="s">
        <v>73</v>
      </c>
      <c r="G74" t="s">
        <v>9</v>
      </c>
      <c r="H74" t="e" cm="1">
        <f t="array" ref="H74:H80">E74:E80*F74:F80</f>
        <v>#VALUE!</v>
      </c>
      <c r="I74" t="s">
        <v>80</v>
      </c>
    </row>
    <row r="75" spans="1:9" x14ac:dyDescent="0.25">
      <c r="A75">
        <v>301</v>
      </c>
      <c r="B75" t="s">
        <v>10</v>
      </c>
      <c r="C75" t="s">
        <v>11</v>
      </c>
      <c r="D75" t="s">
        <v>12</v>
      </c>
      <c r="E75">
        <v>2</v>
      </c>
      <c r="F75">
        <v>45000</v>
      </c>
      <c r="G75" t="s">
        <v>13</v>
      </c>
      <c r="H75" s="1">
        <v>90000</v>
      </c>
      <c r="I75" t="str">
        <f>IF(E75&gt;3, "High", "Low")</f>
        <v>Low</v>
      </c>
    </row>
    <row r="76" spans="1:9" x14ac:dyDescent="0.25">
      <c r="A76">
        <v>302</v>
      </c>
      <c r="B76" t="s">
        <v>14</v>
      </c>
      <c r="C76" t="s">
        <v>15</v>
      </c>
      <c r="D76" t="s">
        <v>16</v>
      </c>
      <c r="E76">
        <v>5</v>
      </c>
      <c r="F76">
        <v>15000</v>
      </c>
      <c r="G76" t="s">
        <v>17</v>
      </c>
      <c r="H76" s="1">
        <v>75000</v>
      </c>
      <c r="I76" t="str">
        <f t="shared" ref="I76:I80" si="2">IF(E76&gt;3, "High", "Low")</f>
        <v>High</v>
      </c>
    </row>
    <row r="77" spans="1:9" x14ac:dyDescent="0.25">
      <c r="A77">
        <v>303</v>
      </c>
      <c r="B77" t="s">
        <v>18</v>
      </c>
      <c r="C77" t="s">
        <v>19</v>
      </c>
      <c r="D77" t="s">
        <v>20</v>
      </c>
      <c r="E77">
        <v>3</v>
      </c>
      <c r="F77">
        <v>18000</v>
      </c>
      <c r="G77" t="s">
        <v>21</v>
      </c>
      <c r="H77" s="1">
        <v>54000</v>
      </c>
      <c r="I77" t="str">
        <f t="shared" si="2"/>
        <v>Low</v>
      </c>
    </row>
    <row r="78" spans="1:9" x14ac:dyDescent="0.25">
      <c r="A78">
        <v>304</v>
      </c>
      <c r="B78" t="s">
        <v>22</v>
      </c>
      <c r="C78" t="s">
        <v>23</v>
      </c>
      <c r="D78" t="s">
        <v>12</v>
      </c>
      <c r="E78">
        <v>1</v>
      </c>
      <c r="F78">
        <v>45000</v>
      </c>
      <c r="G78" t="s">
        <v>24</v>
      </c>
      <c r="H78" s="1">
        <v>45000</v>
      </c>
      <c r="I78" t="str">
        <f t="shared" si="2"/>
        <v>Low</v>
      </c>
    </row>
    <row r="79" spans="1:9" x14ac:dyDescent="0.25">
      <c r="A79">
        <v>305</v>
      </c>
      <c r="B79" t="s">
        <v>10</v>
      </c>
      <c r="C79" t="s">
        <v>11</v>
      </c>
      <c r="D79" t="s">
        <v>16</v>
      </c>
      <c r="E79">
        <v>4</v>
      </c>
      <c r="F79">
        <v>15000</v>
      </c>
      <c r="G79" t="s">
        <v>25</v>
      </c>
      <c r="H79" s="1">
        <v>60000</v>
      </c>
      <c r="I79" t="str">
        <f t="shared" si="2"/>
        <v>High</v>
      </c>
    </row>
    <row r="80" spans="1:9" x14ac:dyDescent="0.25">
      <c r="A80">
        <v>306</v>
      </c>
      <c r="B80" t="s">
        <v>14</v>
      </c>
      <c r="C80" t="s">
        <v>15</v>
      </c>
      <c r="D80" t="s">
        <v>12</v>
      </c>
      <c r="E80">
        <v>2</v>
      </c>
      <c r="F80">
        <v>45000</v>
      </c>
      <c r="G80" t="s">
        <v>26</v>
      </c>
      <c r="H80" s="1">
        <v>90000</v>
      </c>
      <c r="I80" t="str">
        <f t="shared" si="2"/>
        <v>Low</v>
      </c>
    </row>
    <row r="83" spans="1:10" x14ac:dyDescent="0.25">
      <c r="A83" s="2" t="s">
        <v>48</v>
      </c>
      <c r="B83" s="2"/>
      <c r="C83" s="2"/>
      <c r="D83" s="2"/>
      <c r="E83" s="2"/>
    </row>
    <row r="85" spans="1:10" x14ac:dyDescent="0.25">
      <c r="A85" t="s">
        <v>4</v>
      </c>
      <c r="B85" t="s">
        <v>5</v>
      </c>
      <c r="C85" t="s">
        <v>6</v>
      </c>
      <c r="D85" t="s">
        <v>7</v>
      </c>
      <c r="E85" t="s">
        <v>8</v>
      </c>
      <c r="F85" t="s">
        <v>73</v>
      </c>
      <c r="G85" t="s">
        <v>9</v>
      </c>
      <c r="H85" t="e" cm="1">
        <f t="array" ref="H85:H91">E85:E91*F85:F91</f>
        <v>#VALUE!</v>
      </c>
      <c r="I85" t="s">
        <v>81</v>
      </c>
      <c r="J85" t="s">
        <v>82</v>
      </c>
    </row>
    <row r="86" spans="1:10" x14ac:dyDescent="0.25">
      <c r="A86">
        <v>301</v>
      </c>
      <c r="B86" t="s">
        <v>10</v>
      </c>
      <c r="C86" t="s">
        <v>11</v>
      </c>
      <c r="D86" t="s">
        <v>12</v>
      </c>
      <c r="E86">
        <v>2</v>
      </c>
      <c r="F86">
        <v>45000</v>
      </c>
      <c r="G86" t="s">
        <v>13</v>
      </c>
      <c r="H86" s="1">
        <v>90000</v>
      </c>
      <c r="I86" s="1">
        <f>MAX(H86:H91)</f>
        <v>90000</v>
      </c>
      <c r="J86" s="1">
        <f>MIN(H86:H91)</f>
        <v>45000</v>
      </c>
    </row>
    <row r="87" spans="1:10" x14ac:dyDescent="0.25">
      <c r="A87">
        <v>302</v>
      </c>
      <c r="B87" t="s">
        <v>14</v>
      </c>
      <c r="C87" t="s">
        <v>15</v>
      </c>
      <c r="D87" t="s">
        <v>16</v>
      </c>
      <c r="E87">
        <v>5</v>
      </c>
      <c r="F87">
        <v>15000</v>
      </c>
      <c r="G87" t="s">
        <v>17</v>
      </c>
      <c r="H87" s="1">
        <v>75000</v>
      </c>
    </row>
    <row r="88" spans="1:10" x14ac:dyDescent="0.25">
      <c r="A88">
        <v>303</v>
      </c>
      <c r="B88" t="s">
        <v>18</v>
      </c>
      <c r="C88" t="s">
        <v>19</v>
      </c>
      <c r="D88" t="s">
        <v>20</v>
      </c>
      <c r="E88">
        <v>3</v>
      </c>
      <c r="F88">
        <v>18000</v>
      </c>
      <c r="G88" t="s">
        <v>21</v>
      </c>
      <c r="H88" s="1">
        <v>54000</v>
      </c>
    </row>
    <row r="89" spans="1:10" x14ac:dyDescent="0.25">
      <c r="A89">
        <v>304</v>
      </c>
      <c r="B89" t="s">
        <v>22</v>
      </c>
      <c r="C89" t="s">
        <v>23</v>
      </c>
      <c r="D89" t="s">
        <v>12</v>
      </c>
      <c r="E89">
        <v>1</v>
      </c>
      <c r="F89">
        <v>45000</v>
      </c>
      <c r="G89" t="s">
        <v>24</v>
      </c>
      <c r="H89" s="1">
        <v>45000</v>
      </c>
    </row>
    <row r="90" spans="1:10" x14ac:dyDescent="0.25">
      <c r="A90">
        <v>305</v>
      </c>
      <c r="B90" t="s">
        <v>10</v>
      </c>
      <c r="C90" t="s">
        <v>11</v>
      </c>
      <c r="D90" t="s">
        <v>16</v>
      </c>
      <c r="E90">
        <v>4</v>
      </c>
      <c r="F90">
        <v>15000</v>
      </c>
      <c r="G90" t="s">
        <v>25</v>
      </c>
      <c r="H90" s="1">
        <v>60000</v>
      </c>
    </row>
    <row r="91" spans="1:10" x14ac:dyDescent="0.25">
      <c r="A91">
        <v>306</v>
      </c>
      <c r="B91" t="s">
        <v>14</v>
      </c>
      <c r="C91" t="s">
        <v>15</v>
      </c>
      <c r="D91" t="s">
        <v>12</v>
      </c>
      <c r="E91">
        <v>2</v>
      </c>
      <c r="F91">
        <v>45000</v>
      </c>
      <c r="G91" t="s">
        <v>26</v>
      </c>
      <c r="H91" s="1">
        <v>90000</v>
      </c>
    </row>
    <row r="94" spans="1:10" x14ac:dyDescent="0.25">
      <c r="A94" s="2" t="s">
        <v>49</v>
      </c>
      <c r="B94" s="2"/>
      <c r="C94" s="2"/>
      <c r="D94" s="2"/>
      <c r="E94" s="2"/>
    </row>
    <row r="96" spans="1:10" x14ac:dyDescent="0.25">
      <c r="A96" t="s">
        <v>4</v>
      </c>
      <c r="B96" t="s">
        <v>5</v>
      </c>
      <c r="C96" t="s">
        <v>6</v>
      </c>
      <c r="D96" t="s">
        <v>7</v>
      </c>
      <c r="E96" t="s">
        <v>8</v>
      </c>
      <c r="F96" t="s">
        <v>72</v>
      </c>
      <c r="G96" t="s">
        <v>9</v>
      </c>
      <c r="H96" t="s">
        <v>83</v>
      </c>
    </row>
    <row r="97" spans="1:8" x14ac:dyDescent="0.25">
      <c r="A97">
        <v>301</v>
      </c>
      <c r="B97" t="s">
        <v>10</v>
      </c>
      <c r="C97" t="s">
        <v>11</v>
      </c>
      <c r="D97" t="s">
        <v>12</v>
      </c>
      <c r="E97">
        <v>2</v>
      </c>
      <c r="F97">
        <v>45000</v>
      </c>
      <c r="G97" t="s">
        <v>13</v>
      </c>
      <c r="H97" t="str">
        <f>TEXT(G97,"mmmm")</f>
        <v>January</v>
      </c>
    </row>
    <row r="98" spans="1:8" x14ac:dyDescent="0.25">
      <c r="A98">
        <v>302</v>
      </c>
      <c r="B98" t="s">
        <v>14</v>
      </c>
      <c r="C98" t="s">
        <v>15</v>
      </c>
      <c r="D98" t="s">
        <v>16</v>
      </c>
      <c r="E98">
        <v>5</v>
      </c>
      <c r="F98">
        <v>15000</v>
      </c>
      <c r="G98" t="s">
        <v>17</v>
      </c>
      <c r="H98" t="str">
        <f t="shared" ref="H98:H102" si="3">TEXT(G98,"mmmm")</f>
        <v>January</v>
      </c>
    </row>
    <row r="99" spans="1:8" x14ac:dyDescent="0.25">
      <c r="A99">
        <v>303</v>
      </c>
      <c r="B99" t="s">
        <v>18</v>
      </c>
      <c r="C99" t="s">
        <v>19</v>
      </c>
      <c r="D99" t="s">
        <v>20</v>
      </c>
      <c r="E99">
        <v>3</v>
      </c>
      <c r="F99">
        <v>18000</v>
      </c>
      <c r="G99" t="s">
        <v>21</v>
      </c>
      <c r="H99" t="str">
        <f t="shared" si="3"/>
        <v>January</v>
      </c>
    </row>
    <row r="100" spans="1:8" x14ac:dyDescent="0.25">
      <c r="A100">
        <v>304</v>
      </c>
      <c r="B100" t="s">
        <v>22</v>
      </c>
      <c r="C100" t="s">
        <v>23</v>
      </c>
      <c r="D100" t="s">
        <v>12</v>
      </c>
      <c r="E100">
        <v>1</v>
      </c>
      <c r="F100">
        <v>45000</v>
      </c>
      <c r="G100" t="s">
        <v>24</v>
      </c>
      <c r="H100" t="str">
        <f t="shared" si="3"/>
        <v>January</v>
      </c>
    </row>
    <row r="101" spans="1:8" x14ac:dyDescent="0.25">
      <c r="A101">
        <v>305</v>
      </c>
      <c r="B101" t="s">
        <v>10</v>
      </c>
      <c r="C101" t="s">
        <v>11</v>
      </c>
      <c r="D101" t="s">
        <v>16</v>
      </c>
      <c r="E101">
        <v>4</v>
      </c>
      <c r="F101">
        <v>15000</v>
      </c>
      <c r="G101" t="s">
        <v>25</v>
      </c>
      <c r="H101" t="str">
        <f t="shared" si="3"/>
        <v>January</v>
      </c>
    </row>
    <row r="102" spans="1:8" x14ac:dyDescent="0.25">
      <c r="A102">
        <v>306</v>
      </c>
      <c r="B102" t="s">
        <v>14</v>
      </c>
      <c r="C102" t="s">
        <v>15</v>
      </c>
      <c r="D102" t="s">
        <v>12</v>
      </c>
      <c r="E102">
        <v>2</v>
      </c>
      <c r="F102">
        <v>45000</v>
      </c>
      <c r="G102" t="s">
        <v>26</v>
      </c>
      <c r="H102" t="str">
        <f t="shared" si="3"/>
        <v>January</v>
      </c>
    </row>
    <row r="104" spans="1:8" x14ac:dyDescent="0.25">
      <c r="A104" s="2" t="s">
        <v>50</v>
      </c>
      <c r="B104" s="2"/>
      <c r="C104" s="2"/>
      <c r="D104" s="2"/>
      <c r="E104" s="2"/>
    </row>
    <row r="106" spans="1:8" x14ac:dyDescent="0.25">
      <c r="A106" t="s">
        <v>4</v>
      </c>
      <c r="B106" t="s">
        <v>5</v>
      </c>
      <c r="C106" t="s">
        <v>6</v>
      </c>
      <c r="D106" t="s">
        <v>7</v>
      </c>
      <c r="E106" t="s">
        <v>8</v>
      </c>
      <c r="F106" t="s">
        <v>72</v>
      </c>
      <c r="G106" t="s">
        <v>9</v>
      </c>
    </row>
    <row r="107" spans="1:8" x14ac:dyDescent="0.25">
      <c r="A107">
        <v>301</v>
      </c>
      <c r="B107" t="s">
        <v>10</v>
      </c>
      <c r="C107" t="s">
        <v>11</v>
      </c>
      <c r="D107" t="s">
        <v>12</v>
      </c>
      <c r="E107">
        <v>2</v>
      </c>
      <c r="F107">
        <v>45000</v>
      </c>
      <c r="G107" t="s">
        <v>13</v>
      </c>
    </row>
    <row r="108" spans="1:8" x14ac:dyDescent="0.25">
      <c r="A108">
        <v>302</v>
      </c>
      <c r="B108" t="s">
        <v>14</v>
      </c>
      <c r="C108" t="s">
        <v>15</v>
      </c>
      <c r="D108" t="s">
        <v>16</v>
      </c>
      <c r="E108">
        <v>5</v>
      </c>
      <c r="F108">
        <v>15000</v>
      </c>
      <c r="G108" t="s">
        <v>17</v>
      </c>
    </row>
    <row r="109" spans="1:8" x14ac:dyDescent="0.25">
      <c r="A109">
        <v>303</v>
      </c>
      <c r="B109" t="s">
        <v>18</v>
      </c>
      <c r="C109" t="s">
        <v>19</v>
      </c>
      <c r="D109" t="s">
        <v>20</v>
      </c>
      <c r="E109">
        <v>3</v>
      </c>
      <c r="F109">
        <v>18000</v>
      </c>
      <c r="G109" t="s">
        <v>21</v>
      </c>
    </row>
    <row r="110" spans="1:8" x14ac:dyDescent="0.25">
      <c r="A110">
        <v>304</v>
      </c>
      <c r="B110" t="s">
        <v>22</v>
      </c>
      <c r="C110" t="s">
        <v>23</v>
      </c>
      <c r="D110" t="s">
        <v>12</v>
      </c>
      <c r="E110">
        <v>1</v>
      </c>
      <c r="F110">
        <v>45000</v>
      </c>
      <c r="G110" t="s">
        <v>24</v>
      </c>
    </row>
    <row r="111" spans="1:8" x14ac:dyDescent="0.25">
      <c r="A111">
        <v>305</v>
      </c>
      <c r="B111" t="s">
        <v>10</v>
      </c>
      <c r="C111" t="s">
        <v>11</v>
      </c>
      <c r="D111" t="s">
        <v>16</v>
      </c>
      <c r="E111">
        <v>4</v>
      </c>
      <c r="F111">
        <v>15000</v>
      </c>
      <c r="G111" t="s">
        <v>25</v>
      </c>
    </row>
    <row r="112" spans="1:8" x14ac:dyDescent="0.25">
      <c r="A112">
        <v>306</v>
      </c>
      <c r="B112" t="s">
        <v>14</v>
      </c>
      <c r="C112" t="s">
        <v>15</v>
      </c>
      <c r="D112" t="s">
        <v>12</v>
      </c>
      <c r="E112">
        <v>2</v>
      </c>
      <c r="F112">
        <v>45000</v>
      </c>
      <c r="G1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rahimorakhiya@gmail.com</cp:lastModifiedBy>
  <dcterms:created xsi:type="dcterms:W3CDTF">2025-12-20T09:26:06Z</dcterms:created>
  <dcterms:modified xsi:type="dcterms:W3CDTF">2026-07-15T05:22:43Z</dcterms:modified>
</cp:coreProperties>
</file>